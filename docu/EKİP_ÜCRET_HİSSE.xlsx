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İP" sheetId="1" r:id="rId5"/>
    <sheet state="visible" name="KESİN OLMAYAN HİSSE DAĞILIMI" sheetId="2" r:id="rId6"/>
    <sheet state="visible" name="GÖRVE TANIMLARI" sheetId="3" r:id="rId7"/>
  </sheets>
  <definedNames/>
  <calcPr/>
</workbook>
</file>

<file path=xl/sharedStrings.xml><?xml version="1.0" encoding="utf-8"?>
<sst xmlns="http://schemas.openxmlformats.org/spreadsheetml/2006/main" count="172" uniqueCount="136">
  <si>
    <t>Başvuran</t>
  </si>
  <si>
    <t>Aşama</t>
  </si>
  <si>
    <t>Kurucu</t>
  </si>
  <si>
    <t>Ekip</t>
  </si>
  <si>
    <t>CV</t>
  </si>
  <si>
    <t>Görüşmeyi yapan</t>
  </si>
  <si>
    <t>Puan</t>
  </si>
  <si>
    <t>Ücret</t>
  </si>
  <si>
    <t>Hisse</t>
  </si>
  <si>
    <t>Notlar</t>
  </si>
  <si>
    <t>Burak Akcakanat</t>
  </si>
  <si>
    <t>İşe alım</t>
  </si>
  <si>
    <t>Kurucu/Business</t>
  </si>
  <si>
    <t>U. Barış Terzioğlu</t>
  </si>
  <si>
    <t>Görüşme</t>
  </si>
  <si>
    <t>Kurucu/CTO</t>
  </si>
  <si>
    <t>Karar bekleniyor</t>
  </si>
  <si>
    <t>CFO</t>
  </si>
  <si>
    <t>1. ekip</t>
  </si>
  <si>
    <t>COO</t>
  </si>
  <si>
    <t>İşe alım yok</t>
  </si>
  <si>
    <t>Product Manager</t>
  </si>
  <si>
    <t>Front End</t>
  </si>
  <si>
    <t>Back End</t>
  </si>
  <si>
    <t>Mobile Dveloper</t>
  </si>
  <si>
    <t>Test Eng</t>
  </si>
  <si>
    <t>Data Analyst</t>
  </si>
  <si>
    <t>2. ekip</t>
  </si>
  <si>
    <t>Dev Ops/server, Hosting</t>
  </si>
  <si>
    <t>Topluluk Yöneticisi Sosyal Medya+ Ambassadors</t>
  </si>
  <si>
    <t>Content Üreticisi</t>
  </si>
  <si>
    <t>Event Coordinator</t>
  </si>
  <si>
    <t>Partnership Manager/ Anlaşmalı yerler yöneticisi</t>
  </si>
  <si>
    <t>Advisor/ Investment_VC</t>
  </si>
  <si>
    <t>TOPLAM</t>
  </si>
  <si>
    <t>ÜCRET+HİSSE TOPLAMLAR SATIRI</t>
  </si>
  <si>
    <t>TOPLAM/ÜCRET/HİSSE</t>
  </si>
  <si>
    <t>Rol</t>
  </si>
  <si>
    <t>Maaş Seviyesi</t>
  </si>
  <si>
    <t>ÖRNEK Hisse Opsiyonu (ESOP %'si)</t>
  </si>
  <si>
    <t>Not</t>
  </si>
  <si>
    <t>KESiNLEŞEN HİSSE</t>
  </si>
  <si>
    <t>KESİNLEŞEN ÜCRET</t>
  </si>
  <si>
    <t>ÜCRET GEÇERLİLİK</t>
  </si>
  <si>
    <t>VEST</t>
  </si>
  <si>
    <t>CLIFF</t>
  </si>
  <si>
    <t>Orta / Yüksek</t>
  </si>
  <si>
    <t>%1.0 - %2.5</t>
  </si>
  <si>
    <t>Ürün vizyonu ve roadmap sorumluluğu.</t>
  </si>
  <si>
    <t>Back End Developer</t>
  </si>
  <si>
    <t>Yüksek</t>
  </si>
  <si>
    <t>%1.0 - %2.0</t>
  </si>
  <si>
    <t>Sistemin kalbi, mimari sorumluluk.</t>
  </si>
  <si>
    <t>Mobile Developer</t>
  </si>
  <si>
    <t>%0.75 - %1.5</t>
  </si>
  <si>
    <t>Kullanıcı deneyiminin ana kanalı.</t>
  </si>
  <si>
    <t>Front End Developer</t>
  </si>
  <si>
    <t>%0.5 - %1.25</t>
  </si>
  <si>
    <t>Görselleştirme ve etkileşim.</t>
  </si>
  <si>
    <t>DevOps / Server</t>
  </si>
  <si>
    <t>%0.5 - %1.0</t>
  </si>
  <si>
    <t>Kesintisiz çalışma ve ölçekleme kritikliği.</t>
  </si>
  <si>
    <t>Test Engineer</t>
  </si>
  <si>
    <t>Orta</t>
  </si>
  <si>
    <t>%0.2 - %0.5</t>
  </si>
  <si>
    <t>Kalite güvence, genellikle daha düşük hisse.</t>
  </si>
  <si>
    <t>Hisse Opsiyonu (ESOP %'si)</t>
  </si>
  <si>
    <t>%0.3 - %0.7</t>
  </si>
  <si>
    <t>Karar destek mekanizması.</t>
  </si>
  <si>
    <t>Partnership Manager</t>
  </si>
  <si>
    <t>Orta + Prim</t>
  </si>
  <si>
    <t>%0.4 - %0.8</t>
  </si>
  <si>
    <t>İş geliştirme ve gelir odaklılık.</t>
  </si>
  <si>
    <t>Community / Social Media</t>
  </si>
  <si>
    <t>%0.1 - %0.3</t>
  </si>
  <si>
    <t>Marka sadakati ve kitle yönetimi.</t>
  </si>
  <si>
    <t>Orta / Düşük</t>
  </si>
  <si>
    <t>%0.1 - %0.2</t>
  </si>
  <si>
    <t>Genellikle "Freelance" veya "Outsource" edilebilir.</t>
  </si>
  <si>
    <t>%0.1 - %0.25</t>
  </si>
  <si>
    <t>Dönemsel yoğunluklu işler.</t>
  </si>
  <si>
    <t>Ücret Modeli</t>
  </si>
  <si>
    <t>Hisse Opsiyonu</t>
  </si>
  <si>
    <t>Advisor / Investment</t>
  </si>
  <si>
    <t>Genellikle Maaşsız</t>
  </si>
  <si>
    <t>%0.25 - %1.0</t>
  </si>
  <si>
    <t>Ağ (Network) ve sermaye erişimi sağlar.</t>
  </si>
  <si>
    <t>GEMINI</t>
  </si>
  <si>
    <t>ÖRNEK ÜCRETLER</t>
  </si>
  <si>
    <t>Almanya (EUR €)</t>
  </si>
  <si>
    <t>Londra (GBP £)</t>
  </si>
  <si>
    <t>Dubai (AED - Yıllık)*</t>
  </si>
  <si>
    <t>75.000 - 110.000</t>
  </si>
  <si>
    <t>70.000 - 105.000</t>
  </si>
  <si>
    <t>300.000 - 480.000</t>
  </si>
  <si>
    <t>70.000 - 95.000</t>
  </si>
  <si>
    <t>65.000 - 100.000</t>
  </si>
  <si>
    <t>280.000 - 450.000</t>
  </si>
  <si>
    <t>70.000 - 90.000</t>
  </si>
  <si>
    <t>65.000 - 95.000</t>
  </si>
  <si>
    <t>260.000 - 420.000</t>
  </si>
  <si>
    <t>65.000 - 85.000</t>
  </si>
  <si>
    <t>60.000 - 90.000</t>
  </si>
  <si>
    <t>240.000 - 380.000</t>
  </si>
  <si>
    <t>80.000 - 115.000</t>
  </si>
  <si>
    <t>320.000 - 500.000</t>
  </si>
  <si>
    <t>55.000 - 75.000</t>
  </si>
  <si>
    <t>50.000 - 75.000</t>
  </si>
  <si>
    <t>180.000 - 300.000</t>
  </si>
  <si>
    <t>60.000 - 85.000</t>
  </si>
  <si>
    <t>55.000 - 80.000</t>
  </si>
  <si>
    <t>220.000 - 350.000</t>
  </si>
  <si>
    <t>55.000 - 80.000 + Prim</t>
  </si>
  <si>
    <t>50.000 - 85.000 + Prim</t>
  </si>
  <si>
    <t>240.000 - 400.000</t>
  </si>
  <si>
    <t>Community Manager</t>
  </si>
  <si>
    <t>45.000 - 65.000</t>
  </si>
  <si>
    <t>40.000 - 65.000</t>
  </si>
  <si>
    <t>180.000 - 280.000</t>
  </si>
  <si>
    <t>40.000 - 60.000</t>
  </si>
  <si>
    <t>35.000 - 60.000</t>
  </si>
  <si>
    <t>150.000 - 250.000</t>
  </si>
  <si>
    <t>40.000 - 70.000</t>
  </si>
  <si>
    <t>ÜCRET BÜTÇESİ</t>
  </si>
  <si>
    <t>Lokasyon</t>
  </si>
  <si>
    <t>Toplam (Alt Sınır)</t>
  </si>
  <si>
    <t>Toplam (Üst Sınır)</t>
  </si>
  <si>
    <t>Para Birimi</t>
  </si>
  <si>
    <t>Almanya (Berlin/Münih)</t>
  </si>
  <si>
    <t>EUR (€)</t>
  </si>
  <si>
    <t>Londra</t>
  </si>
  <si>
    <t>GBP (£)</t>
  </si>
  <si>
    <t>Dubai</t>
  </si>
  <si>
    <t>AED</t>
  </si>
  <si>
    <t>POZİSYON</t>
  </si>
  <si>
    <t>GÖREV TANIMI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</si>
</sst>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/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2" fontId="4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Border="1" applyFont="1"/>
    <xf borderId="1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0" fillId="0" fontId="3" numFmtId="0" xfId="0" applyAlignment="1" applyFont="1">
      <alignment readingOrder="0"/>
    </xf>
    <xf borderId="1" fillId="0" fontId="5" numFmtId="3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Kİ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6" displayName="İşe_alım_adayları" name="İşe_alım_adayları" id="1">
  <tableColumns count="10">
    <tableColumn name="Başvuran" id="1"/>
    <tableColumn name="Aşama" id="2"/>
    <tableColumn name="Kurucu" id="3"/>
    <tableColumn name="Ekip" id="4"/>
    <tableColumn name="CV" id="5"/>
    <tableColumn name="Görüşmeyi yapan" id="6"/>
    <tableColumn name="Puan" id="7"/>
    <tableColumn name="Ücret" id="8"/>
    <tableColumn name="Hisse" id="9"/>
    <tableColumn name="Notlar" id="10"/>
  </tableColumns>
  <tableStyleInfo name="EKİ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urakakcakanat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13"/>
    <col customWidth="1" min="3" max="3" width="39.63"/>
    <col customWidth="1" min="4" max="5" width="15.13"/>
    <col customWidth="1" min="6" max="6" width="17.63"/>
    <col customWidth="1" min="7" max="9" width="15.13"/>
    <col customWidth="1" min="10" max="10" width="20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 t="s">
        <v>10</v>
      </c>
      <c r="B2" s="4" t="s">
        <v>11</v>
      </c>
      <c r="C2" s="5" t="s">
        <v>12</v>
      </c>
      <c r="D2" s="6" t="s">
        <v>2</v>
      </c>
      <c r="E2" s="7"/>
      <c r="F2" s="7"/>
      <c r="G2" s="8">
        <v>0.0</v>
      </c>
      <c r="H2" s="9"/>
      <c r="I2" s="9"/>
      <c r="J2" s="7"/>
    </row>
    <row r="3" ht="22.5" customHeight="1">
      <c r="A3" s="10" t="s">
        <v>13</v>
      </c>
      <c r="B3" s="4" t="s">
        <v>14</v>
      </c>
      <c r="C3" s="5" t="s">
        <v>15</v>
      </c>
      <c r="D3" s="6" t="s">
        <v>2</v>
      </c>
      <c r="E3" s="7"/>
      <c r="F3" s="7"/>
      <c r="G3" s="8">
        <v>0.0</v>
      </c>
      <c r="H3" s="9"/>
      <c r="I3" s="9"/>
      <c r="J3" s="7"/>
    </row>
    <row r="4" ht="22.5" customHeight="1">
      <c r="A4" s="10"/>
      <c r="B4" s="4" t="s">
        <v>16</v>
      </c>
      <c r="C4" s="5" t="s">
        <v>17</v>
      </c>
      <c r="D4" s="6" t="s">
        <v>18</v>
      </c>
      <c r="E4" s="7"/>
      <c r="F4" s="7"/>
      <c r="G4" s="8">
        <v>0.0</v>
      </c>
      <c r="H4" s="9"/>
      <c r="I4" s="9"/>
      <c r="J4" s="7"/>
    </row>
    <row r="5" ht="22.5" customHeight="1">
      <c r="A5" s="7"/>
      <c r="B5" s="11"/>
      <c r="C5" s="5" t="s">
        <v>19</v>
      </c>
      <c r="D5" s="12"/>
      <c r="E5" s="7"/>
      <c r="F5" s="7"/>
      <c r="G5" s="8">
        <v>0.0</v>
      </c>
      <c r="H5" s="9"/>
      <c r="I5" s="9"/>
      <c r="J5" s="7"/>
    </row>
    <row r="6" ht="22.5" customHeight="1">
      <c r="A6" s="7"/>
      <c r="B6" s="4" t="s">
        <v>20</v>
      </c>
      <c r="C6" s="5" t="s">
        <v>21</v>
      </c>
      <c r="D6" s="6" t="s">
        <v>18</v>
      </c>
      <c r="E6" s="7"/>
      <c r="F6" s="7"/>
      <c r="G6" s="8">
        <v>0.0</v>
      </c>
      <c r="H6" s="9"/>
      <c r="I6" s="9"/>
      <c r="J6" s="7"/>
    </row>
    <row r="7" ht="22.5" customHeight="1">
      <c r="A7" s="7"/>
      <c r="B7" s="11"/>
      <c r="C7" s="5" t="s">
        <v>22</v>
      </c>
      <c r="D7" s="6" t="s">
        <v>18</v>
      </c>
      <c r="E7" s="7"/>
      <c r="F7" s="7"/>
      <c r="G7" s="8">
        <v>0.0</v>
      </c>
      <c r="H7" s="9"/>
      <c r="I7" s="9"/>
      <c r="J7" s="7"/>
    </row>
    <row r="8" ht="22.5" customHeight="1">
      <c r="A8" s="7"/>
      <c r="B8" s="11"/>
      <c r="C8" s="5" t="s">
        <v>23</v>
      </c>
      <c r="D8" s="6" t="s">
        <v>18</v>
      </c>
      <c r="E8" s="7"/>
      <c r="F8" s="7"/>
      <c r="G8" s="8">
        <v>0.0</v>
      </c>
      <c r="H8" s="9"/>
      <c r="I8" s="9"/>
      <c r="J8" s="7"/>
    </row>
    <row r="9" ht="22.5" customHeight="1">
      <c r="A9" s="7"/>
      <c r="B9" s="11"/>
      <c r="C9" s="5" t="s">
        <v>24</v>
      </c>
      <c r="D9" s="6" t="s">
        <v>18</v>
      </c>
      <c r="E9" s="7"/>
      <c r="F9" s="7"/>
      <c r="G9" s="8">
        <v>0.0</v>
      </c>
      <c r="H9" s="9"/>
      <c r="I9" s="9"/>
      <c r="J9" s="7"/>
    </row>
    <row r="10" ht="22.5" customHeight="1">
      <c r="A10" s="7"/>
      <c r="B10" s="11"/>
      <c r="C10" s="5" t="s">
        <v>25</v>
      </c>
      <c r="D10" s="6" t="s">
        <v>18</v>
      </c>
      <c r="E10" s="7"/>
      <c r="F10" s="7"/>
      <c r="G10" s="8">
        <v>0.0</v>
      </c>
      <c r="H10" s="9"/>
      <c r="I10" s="9"/>
      <c r="J10" s="7"/>
    </row>
    <row r="11" ht="22.5" customHeight="1">
      <c r="A11" s="7"/>
      <c r="B11" s="6"/>
      <c r="C11" s="5" t="s">
        <v>26</v>
      </c>
      <c r="D11" s="6" t="s">
        <v>27</v>
      </c>
      <c r="E11" s="7"/>
      <c r="F11" s="7"/>
      <c r="G11" s="8">
        <v>0.0</v>
      </c>
      <c r="H11" s="9"/>
      <c r="I11" s="9"/>
      <c r="J11" s="7"/>
    </row>
    <row r="12" ht="22.5" customHeight="1">
      <c r="A12" s="7"/>
      <c r="B12" s="11"/>
      <c r="C12" s="5" t="s">
        <v>28</v>
      </c>
      <c r="D12" s="11"/>
      <c r="E12" s="7"/>
      <c r="F12" s="7"/>
      <c r="G12" s="8">
        <v>0.0</v>
      </c>
      <c r="H12" s="9"/>
      <c r="I12" s="9"/>
      <c r="J12" s="7"/>
    </row>
    <row r="13" ht="22.5" customHeight="1">
      <c r="A13" s="7"/>
      <c r="B13" s="11"/>
      <c r="C13" s="5" t="s">
        <v>29</v>
      </c>
      <c r="D13" s="11"/>
      <c r="E13" s="7"/>
      <c r="F13" s="7"/>
      <c r="G13" s="8">
        <v>0.0</v>
      </c>
      <c r="H13" s="9"/>
      <c r="I13" s="9"/>
      <c r="J13" s="7"/>
    </row>
    <row r="14" ht="22.5" customHeight="1">
      <c r="A14" s="7"/>
      <c r="B14" s="11"/>
      <c r="C14" s="5" t="s">
        <v>30</v>
      </c>
      <c r="D14" s="11"/>
      <c r="E14" s="7"/>
      <c r="F14" s="7"/>
      <c r="G14" s="8">
        <v>0.0</v>
      </c>
      <c r="H14" s="9"/>
      <c r="I14" s="9"/>
      <c r="J14" s="7"/>
    </row>
    <row r="15" ht="22.5" customHeight="1">
      <c r="A15" s="7"/>
      <c r="B15" s="11"/>
      <c r="C15" s="5" t="s">
        <v>31</v>
      </c>
      <c r="D15" s="11"/>
      <c r="E15" s="7"/>
      <c r="F15" s="7"/>
      <c r="G15" s="8">
        <v>0.0</v>
      </c>
      <c r="H15" s="9"/>
      <c r="I15" s="9"/>
      <c r="J15" s="7"/>
    </row>
    <row r="16" ht="22.5" customHeight="1">
      <c r="A16" s="7"/>
      <c r="B16" s="11"/>
      <c r="C16" s="5" t="s">
        <v>32</v>
      </c>
      <c r="D16" s="11"/>
      <c r="E16" s="7"/>
      <c r="F16" s="7"/>
      <c r="G16" s="8">
        <v>0.0</v>
      </c>
      <c r="H16" s="9"/>
      <c r="I16" s="9"/>
      <c r="J16" s="7"/>
    </row>
    <row r="17" ht="22.5" customHeight="1">
      <c r="A17" s="7"/>
      <c r="B17" s="11"/>
      <c r="C17" s="5" t="s">
        <v>33</v>
      </c>
      <c r="D17" s="11"/>
      <c r="E17" s="7"/>
      <c r="F17" s="7"/>
      <c r="G17" s="8">
        <v>0.0</v>
      </c>
      <c r="H17" s="9"/>
      <c r="I17" s="9"/>
      <c r="J17" s="7"/>
    </row>
    <row r="18" ht="22.5" customHeight="1">
      <c r="A18" s="7"/>
      <c r="B18" s="11"/>
      <c r="C18" s="7"/>
      <c r="D18" s="11"/>
      <c r="E18" s="7"/>
      <c r="F18" s="7"/>
      <c r="G18" s="8">
        <v>0.0</v>
      </c>
      <c r="H18" s="9"/>
      <c r="I18" s="9"/>
      <c r="J18" s="7"/>
    </row>
    <row r="19" ht="22.5" customHeight="1">
      <c r="A19" s="7"/>
      <c r="B19" s="11"/>
      <c r="C19" s="7"/>
      <c r="D19" s="11"/>
      <c r="E19" s="7"/>
      <c r="F19" s="7"/>
      <c r="G19" s="8">
        <v>0.0</v>
      </c>
      <c r="H19" s="9"/>
      <c r="I19" s="9"/>
      <c r="J19" s="7"/>
    </row>
    <row r="20" ht="22.5" customHeight="1">
      <c r="A20" s="7"/>
      <c r="B20" s="11"/>
      <c r="C20" s="7"/>
      <c r="D20" s="11"/>
      <c r="E20" s="7"/>
      <c r="F20" s="7"/>
      <c r="G20" s="8">
        <v>0.0</v>
      </c>
      <c r="H20" s="9"/>
      <c r="I20" s="9"/>
      <c r="J20" s="7"/>
    </row>
    <row r="21" ht="22.5" customHeight="1">
      <c r="A21" s="7"/>
      <c r="B21" s="11"/>
      <c r="C21" s="7"/>
      <c r="D21" s="11"/>
      <c r="E21" s="7"/>
      <c r="F21" s="7"/>
      <c r="G21" s="8">
        <v>0.0</v>
      </c>
      <c r="H21" s="9"/>
      <c r="I21" s="9"/>
      <c r="J21" s="7"/>
    </row>
    <row r="22" ht="22.5" customHeight="1">
      <c r="A22" s="7"/>
      <c r="B22" s="11"/>
      <c r="C22" s="7"/>
      <c r="D22" s="11"/>
      <c r="E22" s="7"/>
      <c r="F22" s="7"/>
      <c r="G22" s="8">
        <v>0.0</v>
      </c>
      <c r="H22" s="9"/>
      <c r="I22" s="9"/>
      <c r="J22" s="7"/>
    </row>
    <row r="23" ht="22.5" customHeight="1">
      <c r="A23" s="7"/>
      <c r="B23" s="11"/>
      <c r="C23" s="7"/>
      <c r="D23" s="11"/>
      <c r="E23" s="7"/>
      <c r="F23" s="7"/>
      <c r="G23" s="8">
        <v>0.0</v>
      </c>
      <c r="H23" s="9"/>
      <c r="I23" s="9"/>
      <c r="J23" s="7"/>
    </row>
    <row r="24" ht="22.5" customHeight="1">
      <c r="A24" s="7"/>
      <c r="B24" s="11"/>
      <c r="C24" s="7"/>
      <c r="D24" s="11"/>
      <c r="E24" s="7"/>
      <c r="F24" s="7"/>
      <c r="G24" s="8">
        <v>0.0</v>
      </c>
      <c r="H24" s="9"/>
      <c r="I24" s="9"/>
      <c r="J24" s="7"/>
    </row>
    <row r="25" ht="22.5" customHeight="1">
      <c r="A25" s="7"/>
      <c r="B25" s="11"/>
      <c r="C25" s="7"/>
      <c r="D25" s="11"/>
      <c r="E25" s="7"/>
      <c r="F25" s="7"/>
      <c r="G25" s="8">
        <v>0.0</v>
      </c>
      <c r="H25" s="9"/>
      <c r="I25" s="9"/>
      <c r="J25" s="7"/>
    </row>
    <row r="26" ht="22.5" customHeight="1">
      <c r="A26" s="7"/>
      <c r="B26" s="11"/>
      <c r="C26" s="7"/>
      <c r="D26" s="11"/>
      <c r="E26" s="7"/>
      <c r="F26" s="7"/>
      <c r="G26" s="8">
        <v>0.0</v>
      </c>
      <c r="H26" s="9"/>
      <c r="I26" s="9"/>
      <c r="J26" s="7"/>
    </row>
    <row r="27" ht="22.5" customHeight="1">
      <c r="A27" s="7"/>
      <c r="B27" s="11"/>
      <c r="C27" s="7"/>
      <c r="D27" s="11"/>
      <c r="E27" s="7"/>
      <c r="F27" s="7"/>
      <c r="G27" s="8">
        <v>0.0</v>
      </c>
      <c r="H27" s="9"/>
      <c r="I27" s="9"/>
      <c r="J27" s="7"/>
    </row>
    <row r="28" ht="22.5" customHeight="1">
      <c r="A28" s="7"/>
      <c r="B28" s="11"/>
      <c r="C28" s="7"/>
      <c r="D28" s="11"/>
      <c r="E28" s="7"/>
      <c r="F28" s="7"/>
      <c r="G28" s="8">
        <v>0.0</v>
      </c>
      <c r="H28" s="9"/>
      <c r="I28" s="9"/>
      <c r="J28" s="7"/>
    </row>
    <row r="29" ht="22.5" customHeight="1">
      <c r="A29" s="7"/>
      <c r="B29" s="11"/>
      <c r="C29" s="7"/>
      <c r="D29" s="11"/>
      <c r="E29" s="7"/>
      <c r="F29" s="7"/>
      <c r="G29" s="8">
        <v>0.0</v>
      </c>
      <c r="H29" s="9"/>
      <c r="I29" s="9"/>
      <c r="J29" s="7"/>
    </row>
    <row r="30" ht="22.5" customHeight="1">
      <c r="A30" s="7"/>
      <c r="B30" s="11"/>
      <c r="C30" s="7"/>
      <c r="D30" s="11"/>
      <c r="E30" s="7"/>
      <c r="F30" s="7"/>
      <c r="G30" s="8">
        <v>0.0</v>
      </c>
      <c r="H30" s="9"/>
      <c r="I30" s="9"/>
      <c r="J30" s="7"/>
    </row>
    <row r="31" ht="22.5" customHeight="1">
      <c r="A31" s="7"/>
      <c r="B31" s="11"/>
      <c r="C31" s="7"/>
      <c r="D31" s="11"/>
      <c r="E31" s="7"/>
      <c r="F31" s="7"/>
      <c r="G31" s="8">
        <v>0.0</v>
      </c>
      <c r="H31" s="9"/>
      <c r="I31" s="9"/>
      <c r="J31" s="7"/>
    </row>
    <row r="32" ht="22.5" customHeight="1">
      <c r="A32" s="7"/>
      <c r="B32" s="11"/>
      <c r="C32" s="7"/>
      <c r="D32" s="11"/>
      <c r="E32" s="7"/>
      <c r="F32" s="7"/>
      <c r="G32" s="8">
        <v>0.0</v>
      </c>
      <c r="H32" s="9"/>
      <c r="I32" s="9"/>
      <c r="J32" s="7"/>
    </row>
    <row r="33" ht="22.5" customHeight="1">
      <c r="A33" s="7"/>
      <c r="B33" s="11"/>
      <c r="C33" s="7"/>
      <c r="D33" s="11"/>
      <c r="E33" s="7"/>
      <c r="F33" s="7"/>
      <c r="G33" s="8">
        <v>0.0</v>
      </c>
      <c r="H33" s="9"/>
      <c r="I33" s="9"/>
      <c r="J33" s="7"/>
    </row>
    <row r="34" ht="22.5" customHeight="1">
      <c r="A34" s="7"/>
      <c r="B34" s="11"/>
      <c r="C34" s="7"/>
      <c r="D34" s="11"/>
      <c r="E34" s="7"/>
      <c r="F34" s="7"/>
      <c r="G34" s="8">
        <v>0.0</v>
      </c>
      <c r="H34" s="9"/>
      <c r="I34" s="9"/>
      <c r="J34" s="7"/>
    </row>
    <row r="35" ht="22.5" customHeight="1">
      <c r="A35" s="7"/>
      <c r="B35" s="11"/>
      <c r="C35" s="7"/>
      <c r="D35" s="11"/>
      <c r="E35" s="7"/>
      <c r="F35" s="7"/>
      <c r="G35" s="8">
        <v>0.0</v>
      </c>
      <c r="H35" s="9"/>
      <c r="I35" s="9"/>
      <c r="J35" s="7"/>
    </row>
    <row r="36" ht="22.5" customHeight="1">
      <c r="A36" s="13" t="s">
        <v>34</v>
      </c>
      <c r="B36" s="11"/>
      <c r="C36" s="5" t="s">
        <v>35</v>
      </c>
      <c r="D36" s="11"/>
      <c r="E36" s="7"/>
      <c r="F36" s="7"/>
      <c r="G36" s="8"/>
      <c r="H36" s="14">
        <f t="shared" ref="H36:I36" si="1">SUM(H2:H35)</f>
        <v>0</v>
      </c>
      <c r="I36" s="14">
        <f t="shared" si="1"/>
        <v>0</v>
      </c>
      <c r="J36" s="15" t="s">
        <v>36</v>
      </c>
    </row>
  </sheetData>
  <dataValidations>
    <dataValidation type="list" allowBlank="1" sqref="D2:D36">
      <formula1>"1. ekip,2. ekip,3. ekip,4. ekip,Kurucu"</formula1>
    </dataValidation>
    <dataValidation type="list" allowBlank="1" showErrorMessage="1" sqref="G2:G36">
      <formula1>"0,1,2,3,4,5"</formula1>
    </dataValidation>
    <dataValidation type="list" allowBlank="1" sqref="B2:B36">
      <formula1>"İşe alım,Görüşme,Karar bekleniyor,İşe alım yok"</formula1>
    </dataValidation>
    <dataValidation allowBlank="1" showDropDown="1" sqref="C2:C36 J2:J36"/>
  </dataValidations>
  <hyperlinks>
    <hyperlink r:id="rId1" ref="A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75"/>
    <col customWidth="1" min="3" max="3" width="27.75"/>
    <col customWidth="1" min="4" max="4" width="38.25"/>
    <col customWidth="1" min="5" max="6" width="17.63"/>
    <col customWidth="1" min="7" max="7" width="17.0"/>
  </cols>
  <sheetData>
    <row r="1">
      <c r="A1" s="16" t="s">
        <v>37</v>
      </c>
      <c r="B1" s="16" t="s">
        <v>38</v>
      </c>
      <c r="C1" s="16" t="s">
        <v>39</v>
      </c>
      <c r="D1" s="16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</row>
    <row r="2">
      <c r="A2" s="18" t="s">
        <v>21</v>
      </c>
      <c r="B2" s="19" t="s">
        <v>46</v>
      </c>
      <c r="C2" s="19" t="s">
        <v>47</v>
      </c>
      <c r="D2" s="19" t="s">
        <v>48</v>
      </c>
      <c r="E2" s="20"/>
      <c r="F2" s="20"/>
      <c r="G2" s="20"/>
      <c r="H2" s="21">
        <v>4.0</v>
      </c>
      <c r="I2" s="21">
        <v>1.0</v>
      </c>
    </row>
    <row r="3">
      <c r="A3" s="18" t="s">
        <v>49</v>
      </c>
      <c r="B3" s="19" t="s">
        <v>50</v>
      </c>
      <c r="C3" s="19" t="s">
        <v>51</v>
      </c>
      <c r="D3" s="19" t="s">
        <v>52</v>
      </c>
      <c r="E3" s="20"/>
      <c r="F3" s="20"/>
      <c r="G3" s="20"/>
      <c r="H3" s="21">
        <v>4.0</v>
      </c>
      <c r="I3" s="21">
        <v>1.0</v>
      </c>
    </row>
    <row r="4">
      <c r="A4" s="18" t="s">
        <v>53</v>
      </c>
      <c r="B4" s="19" t="s">
        <v>50</v>
      </c>
      <c r="C4" s="19" t="s">
        <v>54</v>
      </c>
      <c r="D4" s="19" t="s">
        <v>55</v>
      </c>
      <c r="E4" s="20"/>
      <c r="F4" s="20"/>
      <c r="G4" s="20"/>
      <c r="H4" s="21">
        <v>4.0</v>
      </c>
      <c r="I4" s="21">
        <v>1.0</v>
      </c>
    </row>
    <row r="5">
      <c r="A5" s="18" t="s">
        <v>56</v>
      </c>
      <c r="B5" s="19" t="s">
        <v>46</v>
      </c>
      <c r="C5" s="19" t="s">
        <v>57</v>
      </c>
      <c r="D5" s="19" t="s">
        <v>58</v>
      </c>
      <c r="E5" s="20"/>
      <c r="F5" s="20"/>
      <c r="G5" s="20"/>
      <c r="H5" s="21">
        <v>4.0</v>
      </c>
      <c r="I5" s="21">
        <v>1.0</v>
      </c>
    </row>
    <row r="6">
      <c r="A6" s="18" t="s">
        <v>59</v>
      </c>
      <c r="B6" s="19" t="s">
        <v>50</v>
      </c>
      <c r="C6" s="19" t="s">
        <v>60</v>
      </c>
      <c r="D6" s="19" t="s">
        <v>61</v>
      </c>
      <c r="E6" s="20"/>
      <c r="F6" s="20"/>
      <c r="G6" s="20"/>
      <c r="H6" s="21">
        <v>4.0</v>
      </c>
      <c r="I6" s="21">
        <v>1.0</v>
      </c>
    </row>
    <row r="7">
      <c r="A7" s="18" t="s">
        <v>62</v>
      </c>
      <c r="B7" s="19" t="s">
        <v>63</v>
      </c>
      <c r="C7" s="19" t="s">
        <v>64</v>
      </c>
      <c r="D7" s="19" t="s">
        <v>65</v>
      </c>
      <c r="E7" s="20"/>
      <c r="F7" s="20"/>
      <c r="G7" s="20"/>
      <c r="H7" s="21">
        <v>4.0</v>
      </c>
      <c r="I7" s="21">
        <v>1.0</v>
      </c>
    </row>
    <row r="8">
      <c r="A8" s="16" t="s">
        <v>37</v>
      </c>
      <c r="B8" s="16" t="s">
        <v>38</v>
      </c>
      <c r="C8" s="16" t="s">
        <v>66</v>
      </c>
      <c r="D8" s="16" t="s">
        <v>40</v>
      </c>
      <c r="E8" s="22"/>
      <c r="F8" s="22"/>
      <c r="G8" s="22"/>
      <c r="H8" s="22">
        <v>4.0</v>
      </c>
      <c r="I8" s="22">
        <v>1.0</v>
      </c>
    </row>
    <row r="9">
      <c r="A9" s="18" t="s">
        <v>26</v>
      </c>
      <c r="B9" s="19" t="s">
        <v>46</v>
      </c>
      <c r="C9" s="19" t="s">
        <v>67</v>
      </c>
      <c r="D9" s="19" t="s">
        <v>68</v>
      </c>
      <c r="E9" s="20"/>
      <c r="F9" s="20"/>
      <c r="G9" s="20"/>
      <c r="H9" s="21">
        <v>4.0</v>
      </c>
      <c r="I9" s="21">
        <v>1.0</v>
      </c>
    </row>
    <row r="10">
      <c r="A10" s="18" t="s">
        <v>69</v>
      </c>
      <c r="B10" s="19" t="s">
        <v>70</v>
      </c>
      <c r="C10" s="19" t="s">
        <v>71</v>
      </c>
      <c r="D10" s="19" t="s">
        <v>72</v>
      </c>
      <c r="E10" s="20"/>
      <c r="F10" s="20"/>
      <c r="G10" s="20"/>
      <c r="H10" s="21">
        <v>4.0</v>
      </c>
      <c r="I10" s="21">
        <v>1.0</v>
      </c>
    </row>
    <row r="11">
      <c r="A11" s="18" t="s">
        <v>73</v>
      </c>
      <c r="B11" s="19" t="s">
        <v>63</v>
      </c>
      <c r="C11" s="19" t="s">
        <v>74</v>
      </c>
      <c r="D11" s="19" t="s">
        <v>75</v>
      </c>
      <c r="E11" s="20"/>
      <c r="F11" s="20"/>
      <c r="G11" s="20"/>
      <c r="H11" s="21">
        <v>4.0</v>
      </c>
      <c r="I11" s="21">
        <v>1.0</v>
      </c>
    </row>
    <row r="12">
      <c r="A12" s="18" t="s">
        <v>30</v>
      </c>
      <c r="B12" s="19" t="s">
        <v>76</v>
      </c>
      <c r="C12" s="19" t="s">
        <v>77</v>
      </c>
      <c r="D12" s="19" t="s">
        <v>78</v>
      </c>
      <c r="E12" s="20"/>
      <c r="F12" s="20"/>
      <c r="G12" s="20"/>
      <c r="H12" s="21">
        <v>4.0</v>
      </c>
      <c r="I12" s="21">
        <v>1.0</v>
      </c>
    </row>
    <row r="13">
      <c r="A13" s="18" t="s">
        <v>31</v>
      </c>
      <c r="B13" s="19" t="s">
        <v>63</v>
      </c>
      <c r="C13" s="19" t="s">
        <v>79</v>
      </c>
      <c r="D13" s="19" t="s">
        <v>80</v>
      </c>
      <c r="E13" s="20"/>
      <c r="F13" s="20"/>
      <c r="G13" s="20"/>
      <c r="H13" s="21">
        <v>4.0</v>
      </c>
      <c r="I13" s="21">
        <v>1.0</v>
      </c>
    </row>
    <row r="14">
      <c r="A14" s="19" t="s">
        <v>37</v>
      </c>
      <c r="B14" s="19" t="s">
        <v>81</v>
      </c>
      <c r="C14" s="19" t="s">
        <v>82</v>
      </c>
      <c r="D14" s="19" t="s">
        <v>40</v>
      </c>
      <c r="E14" s="20"/>
      <c r="F14" s="20"/>
      <c r="G14" s="20"/>
      <c r="H14" s="21">
        <v>4.0</v>
      </c>
      <c r="I14" s="21">
        <v>1.0</v>
      </c>
    </row>
    <row r="15">
      <c r="A15" s="18" t="s">
        <v>83</v>
      </c>
      <c r="B15" s="19" t="s">
        <v>84</v>
      </c>
      <c r="C15" s="19" t="s">
        <v>85</v>
      </c>
      <c r="D15" s="19" t="s">
        <v>86</v>
      </c>
      <c r="E15" s="20"/>
      <c r="F15" s="20"/>
      <c r="G15" s="20"/>
      <c r="H15" s="21">
        <v>4.0</v>
      </c>
      <c r="I15" s="21">
        <v>1.0</v>
      </c>
    </row>
    <row r="18">
      <c r="A18" s="23" t="s">
        <v>87</v>
      </c>
      <c r="B18" s="24" t="s">
        <v>88</v>
      </c>
      <c r="C18" s="25"/>
      <c r="D18" s="26"/>
    </row>
    <row r="19">
      <c r="A19" s="19" t="s">
        <v>37</v>
      </c>
      <c r="B19" s="18" t="s">
        <v>89</v>
      </c>
      <c r="C19" s="18" t="s">
        <v>90</v>
      </c>
      <c r="D19" s="18" t="s">
        <v>91</v>
      </c>
    </row>
    <row r="20">
      <c r="A20" s="18" t="s">
        <v>21</v>
      </c>
      <c r="B20" s="19" t="s">
        <v>92</v>
      </c>
      <c r="C20" s="19" t="s">
        <v>93</v>
      </c>
      <c r="D20" s="19" t="s">
        <v>94</v>
      </c>
    </row>
    <row r="21">
      <c r="A21" s="18" t="s">
        <v>49</v>
      </c>
      <c r="B21" s="19" t="s">
        <v>95</v>
      </c>
      <c r="C21" s="19" t="s">
        <v>96</v>
      </c>
      <c r="D21" s="19" t="s">
        <v>97</v>
      </c>
    </row>
    <row r="22">
      <c r="A22" s="18" t="s">
        <v>53</v>
      </c>
      <c r="B22" s="19" t="s">
        <v>98</v>
      </c>
      <c r="C22" s="19" t="s">
        <v>99</v>
      </c>
      <c r="D22" s="19" t="s">
        <v>100</v>
      </c>
    </row>
    <row r="23">
      <c r="A23" s="18" t="s">
        <v>56</v>
      </c>
      <c r="B23" s="19" t="s">
        <v>101</v>
      </c>
      <c r="C23" s="19" t="s">
        <v>102</v>
      </c>
      <c r="D23" s="19" t="s">
        <v>103</v>
      </c>
    </row>
    <row r="24">
      <c r="A24" s="18" t="s">
        <v>59</v>
      </c>
      <c r="B24" s="19" t="s">
        <v>104</v>
      </c>
      <c r="C24" s="19" t="s">
        <v>92</v>
      </c>
      <c r="D24" s="19" t="s">
        <v>105</v>
      </c>
    </row>
    <row r="25">
      <c r="A25" s="18" t="s">
        <v>62</v>
      </c>
      <c r="B25" s="19" t="s">
        <v>106</v>
      </c>
      <c r="C25" s="19" t="s">
        <v>107</v>
      </c>
      <c r="D25" s="19" t="s">
        <v>108</v>
      </c>
    </row>
    <row r="26">
      <c r="A26" s="18" t="s">
        <v>26</v>
      </c>
      <c r="B26" s="19" t="s">
        <v>109</v>
      </c>
      <c r="C26" s="19" t="s">
        <v>110</v>
      </c>
      <c r="D26" s="19" t="s">
        <v>111</v>
      </c>
    </row>
    <row r="27">
      <c r="A27" s="18" t="s">
        <v>69</v>
      </c>
      <c r="B27" s="19" t="s">
        <v>112</v>
      </c>
      <c r="C27" s="19" t="s">
        <v>113</v>
      </c>
      <c r="D27" s="19" t="s">
        <v>114</v>
      </c>
    </row>
    <row r="28">
      <c r="A28" s="18" t="s">
        <v>115</v>
      </c>
      <c r="B28" s="19" t="s">
        <v>116</v>
      </c>
      <c r="C28" s="19" t="s">
        <v>117</v>
      </c>
      <c r="D28" s="19" t="s">
        <v>118</v>
      </c>
    </row>
    <row r="29">
      <c r="A29" s="18" t="s">
        <v>30</v>
      </c>
      <c r="B29" s="19" t="s">
        <v>119</v>
      </c>
      <c r="C29" s="19" t="s">
        <v>120</v>
      </c>
      <c r="D29" s="19" t="s">
        <v>121</v>
      </c>
    </row>
    <row r="30">
      <c r="A30" s="18" t="s">
        <v>31</v>
      </c>
      <c r="B30" s="19" t="s">
        <v>116</v>
      </c>
      <c r="C30" s="19" t="s">
        <v>122</v>
      </c>
      <c r="D30" s="19" t="s">
        <v>108</v>
      </c>
    </row>
    <row r="32">
      <c r="A32" s="27" t="s">
        <v>123</v>
      </c>
    </row>
    <row r="33">
      <c r="A33" s="19" t="s">
        <v>124</v>
      </c>
      <c r="B33" s="19" t="s">
        <v>125</v>
      </c>
      <c r="C33" s="19" t="s">
        <v>126</v>
      </c>
      <c r="D33" s="19" t="s">
        <v>127</v>
      </c>
    </row>
    <row r="34">
      <c r="A34" s="18" t="s">
        <v>128</v>
      </c>
      <c r="B34" s="28">
        <v>660000.0</v>
      </c>
      <c r="C34" s="28">
        <v>925000.0</v>
      </c>
      <c r="D34" s="19" t="s">
        <v>129</v>
      </c>
    </row>
    <row r="35">
      <c r="A35" s="18" t="s">
        <v>130</v>
      </c>
      <c r="B35" s="28">
        <v>605000.0</v>
      </c>
      <c r="C35" s="28">
        <v>935000.0</v>
      </c>
      <c r="D35" s="19" t="s">
        <v>131</v>
      </c>
    </row>
    <row r="36">
      <c r="A36" s="18" t="s">
        <v>132</v>
      </c>
      <c r="B36" s="28">
        <v>2550000.0</v>
      </c>
      <c r="C36" s="28">
        <v>4110000.0</v>
      </c>
      <c r="D36" s="19" t="s">
        <v>133</v>
      </c>
    </row>
  </sheetData>
  <mergeCells count="1">
    <mergeCell ref="B18:D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57.5"/>
  </cols>
  <sheetData>
    <row r="2">
      <c r="B2" s="29" t="s">
        <v>134</v>
      </c>
      <c r="C2" s="29" t="s">
        <v>135</v>
      </c>
      <c r="D2" s="22"/>
      <c r="E2" s="22"/>
    </row>
    <row r="3">
      <c r="B3" s="20" t="str">
        <f>'EKİP'!C2</f>
        <v>Kurucu/Business</v>
      </c>
      <c r="C3" s="20"/>
      <c r="D3" s="20"/>
      <c r="E3" s="20"/>
    </row>
    <row r="4">
      <c r="B4" s="20" t="str">
        <f>'EKİP'!C3</f>
        <v>Kurucu/CTO</v>
      </c>
      <c r="C4" s="20"/>
      <c r="D4" s="20"/>
      <c r="E4" s="20"/>
    </row>
    <row r="5">
      <c r="B5" s="20" t="str">
        <f>'EKİP'!C4</f>
        <v>CFO</v>
      </c>
      <c r="C5" s="20"/>
      <c r="D5" s="20"/>
      <c r="E5" s="20"/>
    </row>
    <row r="6">
      <c r="B6" s="20" t="str">
        <f>'EKİP'!C5</f>
        <v>COO</v>
      </c>
      <c r="C6" s="20"/>
      <c r="D6" s="20"/>
      <c r="E6" s="20"/>
    </row>
    <row r="7">
      <c r="B7" s="20" t="str">
        <f>'EKİP'!C6</f>
        <v>Product Manager</v>
      </c>
      <c r="C7" s="20"/>
      <c r="D7" s="20"/>
      <c r="E7" s="20"/>
    </row>
    <row r="8">
      <c r="B8" s="20" t="str">
        <f>'EKİP'!C7</f>
        <v>Front End</v>
      </c>
      <c r="C8" s="20"/>
      <c r="D8" s="20"/>
      <c r="E8" s="20"/>
    </row>
    <row r="9">
      <c r="B9" s="20" t="str">
        <f>'EKİP'!C8</f>
        <v>Back End</v>
      </c>
      <c r="C9" s="20"/>
      <c r="D9" s="20"/>
      <c r="E9" s="20"/>
    </row>
    <row r="10">
      <c r="B10" s="20" t="str">
        <f>'EKİP'!C9</f>
        <v>Mobile Dveloper</v>
      </c>
      <c r="C10" s="20"/>
      <c r="D10" s="20"/>
      <c r="E10" s="20"/>
    </row>
    <row r="11">
      <c r="B11" s="20" t="str">
        <f>'EKİP'!C10</f>
        <v>Test Eng</v>
      </c>
      <c r="C11" s="20"/>
      <c r="D11" s="20"/>
      <c r="E11" s="20"/>
    </row>
    <row r="12">
      <c r="B12" s="20" t="str">
        <f>'EKİP'!C11</f>
        <v>Data Analyst</v>
      </c>
      <c r="C12" s="20"/>
      <c r="D12" s="20"/>
      <c r="E12" s="20"/>
    </row>
    <row r="13">
      <c r="B13" s="20" t="str">
        <f>'EKİP'!C12</f>
        <v>Dev Ops/server, Hosting</v>
      </c>
      <c r="C13" s="20"/>
      <c r="D13" s="20"/>
      <c r="E13" s="20"/>
    </row>
    <row r="14">
      <c r="B14" s="20" t="str">
        <f>'EKİP'!C13</f>
        <v>Topluluk Yöneticisi Sosyal Medya+ Ambassadors</v>
      </c>
      <c r="C14" s="20"/>
      <c r="D14" s="20"/>
      <c r="E14" s="20"/>
    </row>
    <row r="15">
      <c r="B15" s="20" t="str">
        <f>'EKİP'!C14</f>
        <v>Content Üreticisi</v>
      </c>
      <c r="C15" s="20"/>
      <c r="D15" s="20"/>
      <c r="E15" s="20"/>
    </row>
    <row r="16">
      <c r="B16" s="20" t="str">
        <f>'EKİP'!C15</f>
        <v>Event Coordinator</v>
      </c>
      <c r="C16" s="20"/>
      <c r="D16" s="20"/>
      <c r="E16" s="20"/>
    </row>
    <row r="17">
      <c r="B17" s="20" t="str">
        <f>'EKİP'!C16</f>
        <v>Partnership Manager/ Anlaşmalı yerler yöneticisi</v>
      </c>
      <c r="C17" s="20"/>
      <c r="D17" s="20"/>
      <c r="E17" s="20"/>
    </row>
    <row r="18">
      <c r="B18" s="20" t="str">
        <f>'EKİP'!C17</f>
        <v>Advisor/ Investment_VC</v>
      </c>
      <c r="C18" s="20"/>
      <c r="D18" s="20"/>
      <c r="E18" s="20"/>
    </row>
    <row r="19">
      <c r="B19" s="20" t="str">
        <f>'EKİP'!C18</f>
        <v/>
      </c>
      <c r="C19" s="20"/>
      <c r="D19" s="20"/>
      <c r="E19" s="20"/>
    </row>
    <row r="20">
      <c r="B20" s="20" t="str">
        <f>'EKİP'!C19</f>
        <v/>
      </c>
      <c r="C20" s="20"/>
      <c r="D20" s="20"/>
      <c r="E20" s="20"/>
    </row>
    <row r="21">
      <c r="B21" s="20" t="str">
        <f>'EKİP'!C20</f>
        <v/>
      </c>
      <c r="C21" s="20"/>
      <c r="D21" s="20"/>
      <c r="E21" s="20"/>
    </row>
    <row r="22">
      <c r="B22" s="20" t="str">
        <f>'EKİP'!C21</f>
        <v/>
      </c>
      <c r="C22" s="20"/>
      <c r="D22" s="20"/>
      <c r="E22" s="20"/>
    </row>
  </sheetData>
  <drawing r:id="rId1"/>
</worksheet>
</file>